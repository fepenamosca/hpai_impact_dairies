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nellprod-my.sharepoint.com/personal/mjm756_cornell_edu/Documents/HPAI_dairy/"/>
    </mc:Choice>
  </mc:AlternateContent>
  <xr:revisionPtr revIDLastSave="136" documentId="8_{73A5000A-E142-4BF5-AC67-283A0A855252}" xr6:coauthVersionLast="47" xr6:coauthVersionMax="47" xr10:uidLastSave="{65359622-EFD7-4C18-8606-56E2F9204B5B}"/>
  <bookViews>
    <workbookView xWindow="-110" yWindow="-110" windowWidth="19420" windowHeight="11500" activeTab="3" xr2:uid="{57347C19-FDB1-4CDC-9840-CD54E1320B84}"/>
  </bookViews>
  <sheets>
    <sheet name="Milk losses" sheetId="2" r:id="rId1"/>
    <sheet name="Headline numbers" sheetId="1" r:id="rId2"/>
    <sheet name="NASS" sheetId="4" r:id="rId3"/>
    <sheet name="AM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4" i="4" s="1"/>
  <c r="D4" i="4" s="1"/>
  <c r="D2" i="4"/>
  <c r="B2" i="4"/>
  <c r="C2" i="4" s="1"/>
  <c r="E3" i="3"/>
  <c r="E2" i="3"/>
  <c r="B3" i="3"/>
  <c r="B4" i="3" s="1"/>
  <c r="D4" i="3" s="1"/>
  <c r="B2" i="3"/>
  <c r="D2" i="3" s="1"/>
  <c r="C3" i="1"/>
  <c r="B3" i="1"/>
  <c r="B4" i="1" s="1"/>
  <c r="B2" i="1"/>
  <c r="C2" i="1" s="1"/>
  <c r="E2" i="1" s="1"/>
  <c r="I3" i="2"/>
  <c r="I4" i="2"/>
  <c r="I2" i="2"/>
  <c r="H3" i="2"/>
  <c r="H2" i="2"/>
  <c r="F2" i="2"/>
  <c r="G2" i="2" s="1"/>
  <c r="F3" i="2"/>
  <c r="G3" i="2" s="1"/>
  <c r="F4" i="2"/>
  <c r="G4" i="2" s="1"/>
  <c r="H4" i="2"/>
  <c r="E2" i="4" l="1"/>
  <c r="C3" i="4"/>
  <c r="D3" i="4"/>
  <c r="D5" i="4" s="1"/>
  <c r="E3" i="4"/>
  <c r="B5" i="4"/>
  <c r="D5" i="3"/>
  <c r="B5" i="3"/>
  <c r="C2" i="3"/>
  <c r="C3" i="3"/>
  <c r="D3" i="3"/>
  <c r="D4" i="1"/>
  <c r="D3" i="1"/>
  <c r="D2" i="1"/>
  <c r="D5" i="1" s="1"/>
  <c r="B5" i="1"/>
  <c r="E3" i="1"/>
  <c r="E5" i="1" s="1"/>
  <c r="E5" i="4" l="1"/>
  <c r="F5" i="4" s="1"/>
  <c r="F6" i="4" s="1"/>
  <c r="E5" i="3"/>
  <c r="F5" i="3" s="1"/>
  <c r="F6" i="3" s="1"/>
  <c r="F5" i="1"/>
  <c r="F6" i="1" s="1"/>
</calcChain>
</file>

<file path=xl/sharedStrings.xml><?xml version="1.0" encoding="utf-8"?>
<sst xmlns="http://schemas.openxmlformats.org/spreadsheetml/2006/main" count="295" uniqueCount="23">
  <si>
    <t>Conditional probability</t>
  </si>
  <si>
    <t>% above baseline</t>
  </si>
  <si>
    <t>Expected milk loss</t>
  </si>
  <si>
    <t>Expected replacement cost</t>
  </si>
  <si>
    <t>Dies</t>
  </si>
  <si>
    <t>Sold</t>
  </si>
  <si>
    <t>Recovers</t>
  </si>
  <si>
    <t>NA</t>
  </si>
  <si>
    <t>Total</t>
  </si>
  <si>
    <t>days_from_gripa_diagnosis</t>
  </si>
  <si>
    <t>stayed_sold_died</t>
  </si>
  <si>
    <t>emmean</t>
  </si>
  <si>
    <t>died</t>
  </si>
  <si>
    <t>sold</t>
  </si>
  <si>
    <t>stayed</t>
  </si>
  <si>
    <t>Died</t>
  </si>
  <si>
    <t>Pre-average</t>
  </si>
  <si>
    <t>Stayed</t>
  </si>
  <si>
    <t>7-day before loss</t>
  </si>
  <si>
    <t>Financial loss</t>
  </si>
  <si>
    <t>Total herd</t>
  </si>
  <si>
    <t>Per diagnosis</t>
  </si>
  <si>
    <t>Milk loss after diagnosis and before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</si>
</sst>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2" applyNumberFormat="1" applyFont="1"/>
    <xf numFmtId="44" fontId="0" fillId="0" borderId="0" xfId="1" applyFont="1"/>
    <xf numFmtId="9" fontId="0" fillId="0" borderId="0" xfId="2" applyFont="1"/>
    <xf numFmtId="44" fontId="0" fillId="0" borderId="0" xfId="2" applyNumberFormat="1" applyFont="1"/>
    <xf numFmtId="44" fontId="0" fillId="0" borderId="0" xfId="0" applyNumberFormat="1"/>
    <xf numFmtId="2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29D81-A0AA-46F3-AB1C-5D9FFD49BFEE}">
  <dimension ref="A1:I247"/>
  <sheetViews>
    <sheetView workbookViewId="0">
      <selection activeCell="F4" sqref="F4"/>
    </sheetView>
  </sheetViews>
  <sheetFormatPr defaultRowHeight="14.5" x14ac:dyDescent="0.35"/>
  <cols>
    <col min="1" max="1" width="24.54296875" bestFit="1" customWidth="1"/>
    <col min="6" max="6" width="10.90625" bestFit="1" customWidth="1"/>
    <col min="7" max="7" width="15.36328125" bestFit="1" customWidth="1"/>
    <col min="8" max="8" width="39" bestFit="1" customWidth="1"/>
    <col min="9" max="9" width="11.81640625" bestFit="1" customWidth="1"/>
  </cols>
  <sheetData>
    <row r="1" spans="1:9" x14ac:dyDescent="0.35">
      <c r="A1" t="s">
        <v>9</v>
      </c>
      <c r="B1" t="s">
        <v>10</v>
      </c>
      <c r="C1" t="s">
        <v>11</v>
      </c>
      <c r="F1" t="s">
        <v>16</v>
      </c>
      <c r="G1" t="s">
        <v>18</v>
      </c>
      <c r="H1" t="s">
        <v>22</v>
      </c>
      <c r="I1" t="s">
        <v>19</v>
      </c>
    </row>
    <row r="2" spans="1:9" x14ac:dyDescent="0.35">
      <c r="A2">
        <v>-21</v>
      </c>
      <c r="B2" t="s">
        <v>12</v>
      </c>
      <c r="C2" s="6">
        <v>34.96618118</v>
      </c>
      <c r="E2" t="s">
        <v>15</v>
      </c>
      <c r="F2" s="6">
        <f>AVERAGE(C2:C15)</f>
        <v>34.906072565000002</v>
      </c>
      <c r="G2" s="6">
        <f>SUM(C16:C22)-7*F2</f>
        <v>-47.719291215000055</v>
      </c>
      <c r="H2" s="6">
        <f>SUM(C23:C37)-COUNT(C23:C37)*F2</f>
        <v>-386.78759814099999</v>
      </c>
      <c r="I2" s="2">
        <f>(G2+H2)*21.5/45.3592</f>
        <v>-205.95376728765061</v>
      </c>
    </row>
    <row r="3" spans="1:9" x14ac:dyDescent="0.35">
      <c r="A3">
        <v>-20</v>
      </c>
      <c r="B3" t="s">
        <v>12</v>
      </c>
      <c r="C3" s="6">
        <v>35.591709999999999</v>
      </c>
      <c r="E3" t="s">
        <v>5</v>
      </c>
      <c r="F3" s="6">
        <f>AVERAGE(C84:C97)</f>
        <v>35.188622125714282</v>
      </c>
      <c r="G3" s="6">
        <f>SUM(C98:C104)-7*F3</f>
        <v>-44.274034879999988</v>
      </c>
      <c r="H3" s="6">
        <f>SUM(C105:C127)-COUNT(C105:C127)*F3</f>
        <v>-596.44053388542852</v>
      </c>
      <c r="I3" s="2">
        <f t="shared" ref="I3:I4" si="0">(G3+H3)*21.5/45.3592</f>
        <v>-303.6950217035731</v>
      </c>
    </row>
    <row r="4" spans="1:9" x14ac:dyDescent="0.35">
      <c r="A4">
        <v>-19</v>
      </c>
      <c r="B4" t="s">
        <v>12</v>
      </c>
      <c r="C4" s="6">
        <v>35.636191799999999</v>
      </c>
      <c r="E4" t="s">
        <v>17</v>
      </c>
      <c r="F4" s="6">
        <f>AVERAGE(C166:C179)</f>
        <v>37.599646259285706</v>
      </c>
      <c r="G4" s="6">
        <f>SUM(C180:C186)-7*F4</f>
        <v>-43.570130434999953</v>
      </c>
      <c r="H4" s="6">
        <f>SUM(C187:C247)-COUNT(C187:C247)*F4</f>
        <v>-730.72719418642805</v>
      </c>
      <c r="I4" s="2">
        <f t="shared" si="0"/>
        <v>-367.01247992382366</v>
      </c>
    </row>
    <row r="5" spans="1:9" x14ac:dyDescent="0.35">
      <c r="A5">
        <v>-18</v>
      </c>
      <c r="B5" t="s">
        <v>12</v>
      </c>
      <c r="C5" s="6">
        <v>35.627572100000002</v>
      </c>
    </row>
    <row r="6" spans="1:9" x14ac:dyDescent="0.35">
      <c r="A6">
        <v>-17</v>
      </c>
      <c r="B6" t="s">
        <v>12</v>
      </c>
      <c r="C6" s="6">
        <v>34.884407490000001</v>
      </c>
    </row>
    <row r="7" spans="1:9" x14ac:dyDescent="0.35">
      <c r="A7">
        <v>-16</v>
      </c>
      <c r="B7" t="s">
        <v>12</v>
      </c>
      <c r="C7" s="6">
        <v>34.281477850000002</v>
      </c>
    </row>
    <row r="8" spans="1:9" x14ac:dyDescent="0.35">
      <c r="A8">
        <v>-15</v>
      </c>
      <c r="B8" t="s">
        <v>12</v>
      </c>
      <c r="C8" s="6">
        <v>35.21627857</v>
      </c>
    </row>
    <row r="9" spans="1:9" x14ac:dyDescent="0.35">
      <c r="A9">
        <v>-14</v>
      </c>
      <c r="B9" t="s">
        <v>12</v>
      </c>
      <c r="C9" s="6">
        <v>34.834361309999998</v>
      </c>
    </row>
    <row r="10" spans="1:9" x14ac:dyDescent="0.35">
      <c r="A10">
        <v>-13</v>
      </c>
      <c r="B10" t="s">
        <v>12</v>
      </c>
      <c r="C10" s="6">
        <v>34.021670550000003</v>
      </c>
    </row>
    <row r="11" spans="1:9" x14ac:dyDescent="0.35">
      <c r="A11">
        <v>-12</v>
      </c>
      <c r="B11" t="s">
        <v>12</v>
      </c>
      <c r="C11" s="6">
        <v>33.399239799999997</v>
      </c>
    </row>
    <row r="12" spans="1:9" x14ac:dyDescent="0.35">
      <c r="A12">
        <v>-11</v>
      </c>
      <c r="B12" t="s">
        <v>12</v>
      </c>
      <c r="C12" s="6">
        <v>34.576496499999998</v>
      </c>
    </row>
    <row r="13" spans="1:9" x14ac:dyDescent="0.35">
      <c r="A13">
        <v>-10</v>
      </c>
      <c r="B13" t="s">
        <v>12</v>
      </c>
      <c r="C13" s="6">
        <v>35.260410090000001</v>
      </c>
    </row>
    <row r="14" spans="1:9" x14ac:dyDescent="0.35">
      <c r="A14">
        <v>-9</v>
      </c>
      <c r="B14" t="s">
        <v>12</v>
      </c>
      <c r="C14" s="6">
        <v>34.852854030000003</v>
      </c>
    </row>
    <row r="15" spans="1:9" x14ac:dyDescent="0.35">
      <c r="A15">
        <v>-8</v>
      </c>
      <c r="B15" t="s">
        <v>12</v>
      </c>
      <c r="C15" s="6">
        <v>35.536164640000003</v>
      </c>
    </row>
    <row r="16" spans="1:9" x14ac:dyDescent="0.35">
      <c r="A16">
        <v>-7</v>
      </c>
      <c r="B16" t="s">
        <v>12</v>
      </c>
      <c r="C16" s="6">
        <v>34.974478499999996</v>
      </c>
    </row>
    <row r="17" spans="1:3" x14ac:dyDescent="0.35">
      <c r="A17">
        <v>-6</v>
      </c>
      <c r="B17" t="s">
        <v>12</v>
      </c>
      <c r="C17" s="6">
        <v>35.052309510000001</v>
      </c>
    </row>
    <row r="18" spans="1:3" x14ac:dyDescent="0.35">
      <c r="A18">
        <v>-5</v>
      </c>
      <c r="B18" t="s">
        <v>12</v>
      </c>
      <c r="C18" s="6">
        <v>32.420494210000001</v>
      </c>
    </row>
    <row r="19" spans="1:3" x14ac:dyDescent="0.35">
      <c r="A19">
        <v>-4</v>
      </c>
      <c r="B19" t="s">
        <v>12</v>
      </c>
      <c r="C19" s="6">
        <v>29.545189539999999</v>
      </c>
    </row>
    <row r="20" spans="1:3" x14ac:dyDescent="0.35">
      <c r="A20">
        <v>-3</v>
      </c>
      <c r="B20" t="s">
        <v>12</v>
      </c>
      <c r="C20" s="6">
        <v>27.227578650000002</v>
      </c>
    </row>
    <row r="21" spans="1:3" x14ac:dyDescent="0.35">
      <c r="A21">
        <v>-2</v>
      </c>
      <c r="B21" t="s">
        <v>12</v>
      </c>
      <c r="C21" s="6">
        <v>24.277310700000001</v>
      </c>
    </row>
    <row r="22" spans="1:3" x14ac:dyDescent="0.35">
      <c r="A22">
        <v>-1</v>
      </c>
      <c r="B22" t="s">
        <v>12</v>
      </c>
      <c r="C22" s="6">
        <v>13.12585563</v>
      </c>
    </row>
    <row r="23" spans="1:3" x14ac:dyDescent="0.35">
      <c r="A23">
        <v>0</v>
      </c>
      <c r="B23" t="s">
        <v>12</v>
      </c>
      <c r="C23" s="6">
        <v>5.4514492130000001</v>
      </c>
    </row>
    <row r="24" spans="1:3" x14ac:dyDescent="0.35">
      <c r="A24">
        <v>1</v>
      </c>
      <c r="B24" t="s">
        <v>12</v>
      </c>
      <c r="C24" s="6">
        <v>5.7069214620000004</v>
      </c>
    </row>
    <row r="25" spans="1:3" x14ac:dyDescent="0.35">
      <c r="A25">
        <v>2</v>
      </c>
      <c r="B25" t="s">
        <v>12</v>
      </c>
      <c r="C25" s="6">
        <v>2.7979306240000001</v>
      </c>
    </row>
    <row r="26" spans="1:3" x14ac:dyDescent="0.35">
      <c r="A26">
        <v>3</v>
      </c>
      <c r="B26" t="s">
        <v>12</v>
      </c>
      <c r="C26" s="6">
        <v>4.9321749949999996</v>
      </c>
    </row>
    <row r="27" spans="1:3" x14ac:dyDescent="0.35">
      <c r="A27">
        <v>4</v>
      </c>
      <c r="B27" t="s">
        <v>12</v>
      </c>
      <c r="C27" s="6">
        <v>5.466523316</v>
      </c>
    </row>
    <row r="28" spans="1:3" x14ac:dyDescent="0.35">
      <c r="A28">
        <v>5</v>
      </c>
      <c r="B28" t="s">
        <v>12</v>
      </c>
      <c r="C28" s="6">
        <v>4.7642116000000003</v>
      </c>
    </row>
    <row r="29" spans="1:3" x14ac:dyDescent="0.35">
      <c r="A29">
        <v>6</v>
      </c>
      <c r="B29" t="s">
        <v>12</v>
      </c>
      <c r="C29" s="6">
        <v>8.0296937239999995</v>
      </c>
    </row>
    <row r="30" spans="1:3" x14ac:dyDescent="0.35">
      <c r="A30">
        <v>7</v>
      </c>
      <c r="B30" t="s">
        <v>12</v>
      </c>
      <c r="C30" s="6">
        <v>7.7735875969999997</v>
      </c>
    </row>
    <row r="31" spans="1:3" x14ac:dyDescent="0.35">
      <c r="A31">
        <v>8</v>
      </c>
      <c r="B31" t="s">
        <v>12</v>
      </c>
      <c r="C31" s="6">
        <v>8.5628841530000006</v>
      </c>
    </row>
    <row r="32" spans="1:3" x14ac:dyDescent="0.35">
      <c r="A32">
        <v>9</v>
      </c>
      <c r="B32" t="s">
        <v>12</v>
      </c>
      <c r="C32" s="6">
        <v>11.85713814</v>
      </c>
    </row>
    <row r="33" spans="1:3" x14ac:dyDescent="0.35">
      <c r="A33">
        <v>10</v>
      </c>
      <c r="B33" t="s">
        <v>12</v>
      </c>
      <c r="C33" s="6">
        <v>12.106742730000001</v>
      </c>
    </row>
    <row r="34" spans="1:3" x14ac:dyDescent="0.35">
      <c r="A34">
        <v>11</v>
      </c>
      <c r="B34" t="s">
        <v>12</v>
      </c>
      <c r="C34" s="6">
        <v>13.83579434</v>
      </c>
    </row>
    <row r="35" spans="1:3" x14ac:dyDescent="0.35">
      <c r="A35">
        <v>12</v>
      </c>
      <c r="B35" t="s">
        <v>12</v>
      </c>
      <c r="C35" s="6">
        <v>14.86401474</v>
      </c>
    </row>
    <row r="36" spans="1:3" x14ac:dyDescent="0.35">
      <c r="A36">
        <v>13</v>
      </c>
      <c r="B36" t="s">
        <v>12</v>
      </c>
      <c r="C36" s="6">
        <v>14.34015647</v>
      </c>
    </row>
    <row r="37" spans="1:3" x14ac:dyDescent="0.35">
      <c r="A37">
        <v>14</v>
      </c>
      <c r="B37" t="s">
        <v>12</v>
      </c>
      <c r="C37" s="6">
        <v>16.314267229999999</v>
      </c>
    </row>
    <row r="38" spans="1:3" x14ac:dyDescent="0.35">
      <c r="A38">
        <v>15</v>
      </c>
      <c r="B38" t="s">
        <v>12</v>
      </c>
      <c r="C38" s="6">
        <v>15.63224423</v>
      </c>
    </row>
    <row r="39" spans="1:3" x14ac:dyDescent="0.35">
      <c r="A39">
        <v>16</v>
      </c>
      <c r="B39" t="s">
        <v>12</v>
      </c>
      <c r="C39" s="6">
        <v>15.311885889999999</v>
      </c>
    </row>
    <row r="40" spans="1:3" x14ac:dyDescent="0.35">
      <c r="A40">
        <v>17</v>
      </c>
      <c r="B40" t="s">
        <v>12</v>
      </c>
      <c r="C40" s="6">
        <v>16.35176693</v>
      </c>
    </row>
    <row r="41" spans="1:3" x14ac:dyDescent="0.35">
      <c r="A41">
        <v>18</v>
      </c>
      <c r="B41" t="s">
        <v>12</v>
      </c>
      <c r="C41" s="6">
        <v>16.724438119999999</v>
      </c>
    </row>
    <row r="42" spans="1:3" x14ac:dyDescent="0.35">
      <c r="A42">
        <v>19</v>
      </c>
      <c r="B42" t="s">
        <v>12</v>
      </c>
      <c r="C42" s="6">
        <v>19.22441847</v>
      </c>
    </row>
    <row r="43" spans="1:3" x14ac:dyDescent="0.35">
      <c r="A43">
        <v>20</v>
      </c>
      <c r="B43" t="s">
        <v>12</v>
      </c>
      <c r="C43" s="6">
        <v>15.739251879999999</v>
      </c>
    </row>
    <row r="44" spans="1:3" x14ac:dyDescent="0.35">
      <c r="A44">
        <v>21</v>
      </c>
      <c r="B44" t="s">
        <v>12</v>
      </c>
      <c r="C44" s="6">
        <v>15.682736630000001</v>
      </c>
    </row>
    <row r="45" spans="1:3" x14ac:dyDescent="0.35">
      <c r="A45">
        <v>22</v>
      </c>
      <c r="B45" t="s">
        <v>12</v>
      </c>
      <c r="C45" s="6">
        <v>17.05433373</v>
      </c>
    </row>
    <row r="46" spans="1:3" x14ac:dyDescent="0.35">
      <c r="A46">
        <v>23</v>
      </c>
      <c r="B46" t="s">
        <v>12</v>
      </c>
      <c r="C46" s="6">
        <v>18.245748420000002</v>
      </c>
    </row>
    <row r="47" spans="1:3" x14ac:dyDescent="0.35">
      <c r="A47">
        <v>24</v>
      </c>
      <c r="B47" t="s">
        <v>12</v>
      </c>
      <c r="C47" s="6">
        <v>18.695452370000002</v>
      </c>
    </row>
    <row r="48" spans="1:3" x14ac:dyDescent="0.35">
      <c r="A48">
        <v>25</v>
      </c>
      <c r="B48" t="s">
        <v>12</v>
      </c>
      <c r="C48" s="6">
        <v>18.346426080000001</v>
      </c>
    </row>
    <row r="49" spans="1:3" x14ac:dyDescent="0.35">
      <c r="A49">
        <v>26</v>
      </c>
      <c r="B49" t="s">
        <v>12</v>
      </c>
      <c r="C49" s="6">
        <v>17.992688829999999</v>
      </c>
    </row>
    <row r="50" spans="1:3" x14ac:dyDescent="0.35">
      <c r="A50">
        <v>27</v>
      </c>
      <c r="B50" t="s">
        <v>12</v>
      </c>
      <c r="C50" s="6">
        <v>14.773575340000001</v>
      </c>
    </row>
    <row r="51" spans="1:3" x14ac:dyDescent="0.35">
      <c r="A51">
        <v>28</v>
      </c>
      <c r="B51" t="s">
        <v>12</v>
      </c>
      <c r="C51" s="6">
        <v>17.344448910000001</v>
      </c>
    </row>
    <row r="52" spans="1:3" x14ac:dyDescent="0.35">
      <c r="A52">
        <v>29</v>
      </c>
      <c r="B52" t="s">
        <v>12</v>
      </c>
      <c r="C52" s="6">
        <v>17.391505819999999</v>
      </c>
    </row>
    <row r="53" spans="1:3" x14ac:dyDescent="0.35">
      <c r="A53">
        <v>30</v>
      </c>
      <c r="B53" t="s">
        <v>12</v>
      </c>
      <c r="C53" s="6">
        <v>16.69224741</v>
      </c>
    </row>
    <row r="54" spans="1:3" x14ac:dyDescent="0.35">
      <c r="A54">
        <v>31</v>
      </c>
      <c r="B54" t="s">
        <v>12</v>
      </c>
      <c r="C54" s="6">
        <v>15.429172429999999</v>
      </c>
    </row>
    <row r="55" spans="1:3" x14ac:dyDescent="0.35">
      <c r="A55">
        <v>32</v>
      </c>
      <c r="B55" t="s">
        <v>12</v>
      </c>
      <c r="C55" s="6">
        <v>17.674280419999999</v>
      </c>
    </row>
    <row r="56" spans="1:3" x14ac:dyDescent="0.35">
      <c r="A56">
        <v>33</v>
      </c>
      <c r="B56" t="s">
        <v>12</v>
      </c>
      <c r="C56" s="6">
        <v>15.84933889</v>
      </c>
    </row>
    <row r="57" spans="1:3" x14ac:dyDescent="0.35">
      <c r="A57">
        <v>34</v>
      </c>
      <c r="B57" t="s">
        <v>12</v>
      </c>
      <c r="C57" s="6">
        <v>18.668435519999999</v>
      </c>
    </row>
    <row r="58" spans="1:3" x14ac:dyDescent="0.35">
      <c r="A58">
        <v>35</v>
      </c>
      <c r="B58" t="s">
        <v>12</v>
      </c>
      <c r="C58" s="6">
        <v>15.487605869999999</v>
      </c>
    </row>
    <row r="59" spans="1:3" x14ac:dyDescent="0.35">
      <c r="A59">
        <v>36</v>
      </c>
      <c r="B59" t="s">
        <v>12</v>
      </c>
      <c r="C59" s="6">
        <v>15.818445199999999</v>
      </c>
    </row>
    <row r="60" spans="1:3" x14ac:dyDescent="0.35">
      <c r="A60">
        <v>37</v>
      </c>
      <c r="B60" t="s">
        <v>12</v>
      </c>
      <c r="C60" s="6">
        <v>15.619934369999999</v>
      </c>
    </row>
    <row r="61" spans="1:3" x14ac:dyDescent="0.35">
      <c r="A61">
        <v>38</v>
      </c>
      <c r="B61" t="s">
        <v>12</v>
      </c>
      <c r="C61" s="6">
        <v>22.695134939999999</v>
      </c>
    </row>
    <row r="62" spans="1:3" x14ac:dyDescent="0.35">
      <c r="A62">
        <v>39</v>
      </c>
      <c r="B62" t="s">
        <v>12</v>
      </c>
      <c r="C62" s="6">
        <v>15.657698249999999</v>
      </c>
    </row>
    <row r="63" spans="1:3" x14ac:dyDescent="0.35">
      <c r="A63">
        <v>40</v>
      </c>
      <c r="B63" t="s">
        <v>12</v>
      </c>
      <c r="C63" s="6">
        <v>17.384078729999999</v>
      </c>
    </row>
    <row r="64" spans="1:3" x14ac:dyDescent="0.35">
      <c r="A64">
        <v>41</v>
      </c>
      <c r="B64" t="s">
        <v>12</v>
      </c>
      <c r="C64" s="6">
        <v>17.559743999999998</v>
      </c>
    </row>
    <row r="65" spans="1:3" x14ac:dyDescent="0.35">
      <c r="A65">
        <v>42</v>
      </c>
      <c r="B65" t="s">
        <v>12</v>
      </c>
      <c r="C65" s="6">
        <v>17.888913689999999</v>
      </c>
    </row>
    <row r="66" spans="1:3" x14ac:dyDescent="0.35">
      <c r="A66">
        <v>43</v>
      </c>
      <c r="B66" t="s">
        <v>12</v>
      </c>
      <c r="C66" s="6">
        <v>14.445910870000001</v>
      </c>
    </row>
    <row r="67" spans="1:3" x14ac:dyDescent="0.35">
      <c r="A67">
        <v>44</v>
      </c>
      <c r="B67" t="s">
        <v>12</v>
      </c>
      <c r="C67" s="6">
        <v>8.6781542409999997</v>
      </c>
    </row>
    <row r="68" spans="1:3" x14ac:dyDescent="0.35">
      <c r="A68">
        <v>45</v>
      </c>
      <c r="B68" t="s">
        <v>12</v>
      </c>
      <c r="C68" s="6">
        <v>14.83047268</v>
      </c>
    </row>
    <row r="69" spans="1:3" x14ac:dyDescent="0.35">
      <c r="A69">
        <v>46</v>
      </c>
      <c r="B69" t="s">
        <v>12</v>
      </c>
      <c r="C69" s="6">
        <v>10.089424989999999</v>
      </c>
    </row>
    <row r="70" spans="1:3" x14ac:dyDescent="0.35">
      <c r="A70">
        <v>47</v>
      </c>
      <c r="B70" t="s">
        <v>12</v>
      </c>
      <c r="C70" s="6">
        <v>15.18686261</v>
      </c>
    </row>
    <row r="71" spans="1:3" x14ac:dyDescent="0.35">
      <c r="A71">
        <v>48</v>
      </c>
      <c r="B71" t="s">
        <v>12</v>
      </c>
      <c r="C71" s="6">
        <v>8.8508923409999998</v>
      </c>
    </row>
    <row r="72" spans="1:3" x14ac:dyDescent="0.35">
      <c r="A72">
        <v>49</v>
      </c>
      <c r="B72" t="s">
        <v>12</v>
      </c>
      <c r="C72" s="6">
        <v>14.977367040000001</v>
      </c>
    </row>
    <row r="73" spans="1:3" x14ac:dyDescent="0.35">
      <c r="A73">
        <v>50</v>
      </c>
      <c r="B73" t="s">
        <v>12</v>
      </c>
      <c r="C73" s="6">
        <v>16.482895110000001</v>
      </c>
    </row>
    <row r="74" spans="1:3" x14ac:dyDescent="0.35">
      <c r="A74">
        <v>51</v>
      </c>
      <c r="B74" t="s">
        <v>12</v>
      </c>
      <c r="C74" s="6">
        <v>18.766325030000001</v>
      </c>
    </row>
    <row r="75" spans="1:3" x14ac:dyDescent="0.35">
      <c r="A75">
        <v>52</v>
      </c>
      <c r="B75" t="s">
        <v>12</v>
      </c>
      <c r="C75" s="6">
        <v>17.50481358</v>
      </c>
    </row>
    <row r="76" spans="1:3" x14ac:dyDescent="0.35">
      <c r="A76">
        <v>53</v>
      </c>
      <c r="B76" t="s">
        <v>12</v>
      </c>
      <c r="C76" s="6">
        <v>20.927593779999999</v>
      </c>
    </row>
    <row r="77" spans="1:3" x14ac:dyDescent="0.35">
      <c r="A77">
        <v>54</v>
      </c>
      <c r="B77" t="s">
        <v>12</v>
      </c>
      <c r="C77" s="6">
        <v>16.07410724</v>
      </c>
    </row>
    <row r="78" spans="1:3" x14ac:dyDescent="0.35">
      <c r="A78">
        <v>55</v>
      </c>
      <c r="B78" t="s">
        <v>12</v>
      </c>
      <c r="C78" s="6">
        <v>18.074078310000001</v>
      </c>
    </row>
    <row r="79" spans="1:3" x14ac:dyDescent="0.35">
      <c r="A79">
        <v>56</v>
      </c>
      <c r="B79" t="s">
        <v>12</v>
      </c>
      <c r="C79" s="6">
        <v>16.94465619</v>
      </c>
    </row>
    <row r="80" spans="1:3" x14ac:dyDescent="0.35">
      <c r="A80">
        <v>57</v>
      </c>
      <c r="B80" t="s">
        <v>12</v>
      </c>
      <c r="C80" s="6">
        <v>17.154678520000001</v>
      </c>
    </row>
    <row r="81" spans="1:3" x14ac:dyDescent="0.35">
      <c r="A81">
        <v>58</v>
      </c>
      <c r="B81" t="s">
        <v>12</v>
      </c>
      <c r="C81" s="6">
        <v>20.142616329999999</v>
      </c>
    </row>
    <row r="82" spans="1:3" x14ac:dyDescent="0.35">
      <c r="A82">
        <v>59</v>
      </c>
      <c r="B82" t="s">
        <v>12</v>
      </c>
      <c r="C82" s="6">
        <v>16.7439331</v>
      </c>
    </row>
    <row r="83" spans="1:3" x14ac:dyDescent="0.35">
      <c r="A83">
        <v>60</v>
      </c>
      <c r="B83" t="s">
        <v>12</v>
      </c>
      <c r="C83" s="6">
        <v>11.93669525</v>
      </c>
    </row>
    <row r="84" spans="1:3" x14ac:dyDescent="0.35">
      <c r="A84">
        <v>-21</v>
      </c>
      <c r="B84" t="s">
        <v>13</v>
      </c>
      <c r="C84" s="6">
        <v>35.589744869999997</v>
      </c>
    </row>
    <row r="85" spans="1:3" x14ac:dyDescent="0.35">
      <c r="A85">
        <v>-20</v>
      </c>
      <c r="B85" t="s">
        <v>13</v>
      </c>
      <c r="C85" s="6">
        <v>35.084381389999997</v>
      </c>
    </row>
    <row r="86" spans="1:3" x14ac:dyDescent="0.35">
      <c r="A86">
        <v>-19</v>
      </c>
      <c r="B86" t="s">
        <v>13</v>
      </c>
      <c r="C86" s="6">
        <v>35.129040789999998</v>
      </c>
    </row>
    <row r="87" spans="1:3" x14ac:dyDescent="0.35">
      <c r="A87">
        <v>-18</v>
      </c>
      <c r="B87" t="s">
        <v>13</v>
      </c>
      <c r="C87" s="6">
        <v>35.542859620000002</v>
      </c>
    </row>
    <row r="88" spans="1:3" x14ac:dyDescent="0.35">
      <c r="A88">
        <v>-17</v>
      </c>
      <c r="B88" t="s">
        <v>13</v>
      </c>
      <c r="C88" s="6">
        <v>35.795095869999997</v>
      </c>
    </row>
    <row r="89" spans="1:3" x14ac:dyDescent="0.35">
      <c r="A89">
        <v>-16</v>
      </c>
      <c r="B89" t="s">
        <v>13</v>
      </c>
      <c r="C89" s="6">
        <v>35.292613060000001</v>
      </c>
    </row>
    <row r="90" spans="1:3" x14ac:dyDescent="0.35">
      <c r="A90">
        <v>-15</v>
      </c>
      <c r="B90" t="s">
        <v>13</v>
      </c>
      <c r="C90" s="6">
        <v>35.417348539999999</v>
      </c>
    </row>
    <row r="91" spans="1:3" x14ac:dyDescent="0.35">
      <c r="A91">
        <v>-14</v>
      </c>
      <c r="B91" t="s">
        <v>13</v>
      </c>
      <c r="C91" s="6">
        <v>35.332248890000002</v>
      </c>
    </row>
    <row r="92" spans="1:3" x14ac:dyDescent="0.35">
      <c r="A92">
        <v>-13</v>
      </c>
      <c r="B92" t="s">
        <v>13</v>
      </c>
      <c r="C92" s="6">
        <v>35.207661139999999</v>
      </c>
    </row>
    <row r="93" spans="1:3" x14ac:dyDescent="0.35">
      <c r="A93">
        <v>-12</v>
      </c>
      <c r="B93" t="s">
        <v>13</v>
      </c>
      <c r="C93" s="6">
        <v>35.033497869999998</v>
      </c>
    </row>
    <row r="94" spans="1:3" x14ac:dyDescent="0.35">
      <c r="A94">
        <v>-11</v>
      </c>
      <c r="B94" t="s">
        <v>13</v>
      </c>
      <c r="C94" s="6">
        <v>35.21689379</v>
      </c>
    </row>
    <row r="95" spans="1:3" x14ac:dyDescent="0.35">
      <c r="A95">
        <v>-10</v>
      </c>
      <c r="B95" t="s">
        <v>13</v>
      </c>
      <c r="C95" s="6">
        <v>35.154898439999997</v>
      </c>
    </row>
    <row r="96" spans="1:3" x14ac:dyDescent="0.35">
      <c r="A96">
        <v>-9</v>
      </c>
      <c r="B96" t="s">
        <v>13</v>
      </c>
      <c r="C96" s="6">
        <v>34.558874199999998</v>
      </c>
    </row>
    <row r="97" spans="1:3" x14ac:dyDescent="0.35">
      <c r="A97">
        <v>-8</v>
      </c>
      <c r="B97" t="s">
        <v>13</v>
      </c>
      <c r="C97" s="6">
        <v>34.285551290000001</v>
      </c>
    </row>
    <row r="98" spans="1:3" x14ac:dyDescent="0.35">
      <c r="A98">
        <v>-7</v>
      </c>
      <c r="B98" t="s">
        <v>13</v>
      </c>
      <c r="C98" s="6">
        <v>34.360220089999999</v>
      </c>
    </row>
    <row r="99" spans="1:3" x14ac:dyDescent="0.35">
      <c r="A99">
        <v>-6</v>
      </c>
      <c r="B99" t="s">
        <v>13</v>
      </c>
      <c r="C99" s="6">
        <v>34.812742829999998</v>
      </c>
    </row>
    <row r="100" spans="1:3" x14ac:dyDescent="0.35">
      <c r="A100">
        <v>-5</v>
      </c>
      <c r="B100" t="s">
        <v>13</v>
      </c>
      <c r="C100" s="6">
        <v>33.884440840000003</v>
      </c>
    </row>
    <row r="101" spans="1:3" x14ac:dyDescent="0.35">
      <c r="A101">
        <v>-4</v>
      </c>
      <c r="B101" t="s">
        <v>13</v>
      </c>
      <c r="C101" s="6">
        <v>32.135869300000003</v>
      </c>
    </row>
    <row r="102" spans="1:3" x14ac:dyDescent="0.35">
      <c r="A102">
        <v>-3</v>
      </c>
      <c r="B102" t="s">
        <v>13</v>
      </c>
      <c r="C102" s="6">
        <v>28.578102229999999</v>
      </c>
    </row>
    <row r="103" spans="1:3" x14ac:dyDescent="0.35">
      <c r="A103">
        <v>-2</v>
      </c>
      <c r="B103" t="s">
        <v>13</v>
      </c>
      <c r="C103" s="6">
        <v>23.781149169999999</v>
      </c>
    </row>
    <row r="104" spans="1:3" x14ac:dyDescent="0.35">
      <c r="A104">
        <v>-1</v>
      </c>
      <c r="B104" t="s">
        <v>13</v>
      </c>
      <c r="C104" s="6">
        <v>14.493795540000001</v>
      </c>
    </row>
    <row r="105" spans="1:3" x14ac:dyDescent="0.35">
      <c r="A105">
        <v>0</v>
      </c>
      <c r="B105" t="s">
        <v>13</v>
      </c>
      <c r="C105" s="6">
        <v>9.4072457309999997</v>
      </c>
    </row>
    <row r="106" spans="1:3" x14ac:dyDescent="0.35">
      <c r="A106">
        <v>1</v>
      </c>
      <c r="B106" t="s">
        <v>13</v>
      </c>
      <c r="C106" s="6">
        <v>7.5089202009999996</v>
      </c>
    </row>
    <row r="107" spans="1:3" x14ac:dyDescent="0.35">
      <c r="A107">
        <v>2</v>
      </c>
      <c r="B107" t="s">
        <v>13</v>
      </c>
      <c r="C107" s="6">
        <v>6.3140175169999999</v>
      </c>
    </row>
    <row r="108" spans="1:3" x14ac:dyDescent="0.35">
      <c r="A108">
        <v>3</v>
      </c>
      <c r="B108" t="s">
        <v>13</v>
      </c>
      <c r="C108" s="6">
        <v>6.8921772639999999</v>
      </c>
    </row>
    <row r="109" spans="1:3" x14ac:dyDescent="0.35">
      <c r="A109">
        <v>4</v>
      </c>
      <c r="B109" t="s">
        <v>13</v>
      </c>
      <c r="C109" s="6">
        <v>7.185058809</v>
      </c>
    </row>
    <row r="110" spans="1:3" x14ac:dyDescent="0.35">
      <c r="A110">
        <v>5</v>
      </c>
      <c r="B110" t="s">
        <v>13</v>
      </c>
      <c r="C110" s="6">
        <v>7.2260461679999999</v>
      </c>
    </row>
    <row r="111" spans="1:3" x14ac:dyDescent="0.35">
      <c r="A111">
        <v>6</v>
      </c>
      <c r="B111" t="s">
        <v>13</v>
      </c>
      <c r="C111" s="6">
        <v>6.7769490399999999</v>
      </c>
    </row>
    <row r="112" spans="1:3" x14ac:dyDescent="0.35">
      <c r="A112">
        <v>7</v>
      </c>
      <c r="B112" t="s">
        <v>13</v>
      </c>
      <c r="C112" s="6">
        <v>6.6903854880000004</v>
      </c>
    </row>
    <row r="113" spans="1:3" x14ac:dyDescent="0.35">
      <c r="A113">
        <v>8</v>
      </c>
      <c r="B113" t="s">
        <v>13</v>
      </c>
      <c r="C113" s="6">
        <v>7.8122924679999999</v>
      </c>
    </row>
    <row r="114" spans="1:3" x14ac:dyDescent="0.35">
      <c r="A114">
        <v>9</v>
      </c>
      <c r="B114" t="s">
        <v>13</v>
      </c>
      <c r="C114" s="6">
        <v>8.8349733760000007</v>
      </c>
    </row>
    <row r="115" spans="1:3" x14ac:dyDescent="0.35">
      <c r="A115">
        <v>10</v>
      </c>
      <c r="B115" t="s">
        <v>13</v>
      </c>
      <c r="C115" s="6">
        <v>8.8001815360000002</v>
      </c>
    </row>
    <row r="116" spans="1:3" x14ac:dyDescent="0.35">
      <c r="A116">
        <v>11</v>
      </c>
      <c r="B116" t="s">
        <v>13</v>
      </c>
      <c r="C116" s="6">
        <v>9.3382943770000004</v>
      </c>
    </row>
    <row r="117" spans="1:3" x14ac:dyDescent="0.35">
      <c r="A117">
        <v>12</v>
      </c>
      <c r="B117" t="s">
        <v>13</v>
      </c>
      <c r="C117" s="6">
        <v>9.6075894829999999</v>
      </c>
    </row>
    <row r="118" spans="1:3" x14ac:dyDescent="0.35">
      <c r="A118">
        <v>13</v>
      </c>
      <c r="B118" t="s">
        <v>13</v>
      </c>
      <c r="C118" s="6">
        <v>10.70234438</v>
      </c>
    </row>
    <row r="119" spans="1:3" x14ac:dyDescent="0.35">
      <c r="A119">
        <v>14</v>
      </c>
      <c r="B119" t="s">
        <v>13</v>
      </c>
      <c r="C119" s="6">
        <v>10.08837503</v>
      </c>
    </row>
    <row r="120" spans="1:3" x14ac:dyDescent="0.35">
      <c r="A120">
        <v>15</v>
      </c>
      <c r="B120" t="s">
        <v>13</v>
      </c>
      <c r="C120" s="6">
        <v>9.9449803879999994</v>
      </c>
    </row>
    <row r="121" spans="1:3" x14ac:dyDescent="0.35">
      <c r="A121">
        <v>16</v>
      </c>
      <c r="B121" t="s">
        <v>13</v>
      </c>
      <c r="C121" s="6">
        <v>10.654975520000001</v>
      </c>
    </row>
    <row r="122" spans="1:3" x14ac:dyDescent="0.35">
      <c r="A122">
        <v>17</v>
      </c>
      <c r="B122" t="s">
        <v>13</v>
      </c>
      <c r="C122" s="6">
        <v>11.272269809999999</v>
      </c>
    </row>
    <row r="123" spans="1:3" x14ac:dyDescent="0.35">
      <c r="A123">
        <v>18</v>
      </c>
      <c r="B123" t="s">
        <v>13</v>
      </c>
      <c r="C123" s="6">
        <v>11.042838100000001</v>
      </c>
    </row>
    <row r="124" spans="1:3" x14ac:dyDescent="0.35">
      <c r="A124">
        <v>19</v>
      </c>
      <c r="B124" t="s">
        <v>13</v>
      </c>
      <c r="C124" s="6">
        <v>11.42032008</v>
      </c>
    </row>
    <row r="125" spans="1:3" x14ac:dyDescent="0.35">
      <c r="A125">
        <v>20</v>
      </c>
      <c r="B125" t="s">
        <v>13</v>
      </c>
      <c r="C125" s="6">
        <v>11.47667852</v>
      </c>
    </row>
    <row r="126" spans="1:3" x14ac:dyDescent="0.35">
      <c r="A126">
        <v>21</v>
      </c>
      <c r="B126" t="s">
        <v>13</v>
      </c>
      <c r="C126" s="6">
        <v>11.76062301</v>
      </c>
    </row>
    <row r="127" spans="1:3" x14ac:dyDescent="0.35">
      <c r="A127">
        <v>22</v>
      </c>
      <c r="B127" t="s">
        <v>13</v>
      </c>
      <c r="C127" s="6">
        <v>12.14023871</v>
      </c>
    </row>
    <row r="128" spans="1:3" x14ac:dyDescent="0.35">
      <c r="A128">
        <v>23</v>
      </c>
      <c r="B128" t="s">
        <v>13</v>
      </c>
      <c r="C128" s="6">
        <v>11.880196509999999</v>
      </c>
    </row>
    <row r="129" spans="1:3" x14ac:dyDescent="0.35">
      <c r="A129">
        <v>24</v>
      </c>
      <c r="B129" t="s">
        <v>13</v>
      </c>
      <c r="C129" s="6">
        <v>11.780511690000001</v>
      </c>
    </row>
    <row r="130" spans="1:3" x14ac:dyDescent="0.35">
      <c r="A130">
        <v>25</v>
      </c>
      <c r="B130" t="s">
        <v>13</v>
      </c>
      <c r="C130" s="6">
        <v>11.705831829999999</v>
      </c>
    </row>
    <row r="131" spans="1:3" x14ac:dyDescent="0.35">
      <c r="A131">
        <v>26</v>
      </c>
      <c r="B131" t="s">
        <v>13</v>
      </c>
      <c r="C131" s="6">
        <v>12.22564231</v>
      </c>
    </row>
    <row r="132" spans="1:3" x14ac:dyDescent="0.35">
      <c r="A132">
        <v>27</v>
      </c>
      <c r="B132" t="s">
        <v>13</v>
      </c>
      <c r="C132" s="6">
        <v>11.484037539999999</v>
      </c>
    </row>
    <row r="133" spans="1:3" x14ac:dyDescent="0.35">
      <c r="A133">
        <v>28</v>
      </c>
      <c r="B133" t="s">
        <v>13</v>
      </c>
      <c r="C133" s="6">
        <v>11.239331979999999</v>
      </c>
    </row>
    <row r="134" spans="1:3" x14ac:dyDescent="0.35">
      <c r="A134">
        <v>29</v>
      </c>
      <c r="B134" t="s">
        <v>13</v>
      </c>
      <c r="C134" s="6">
        <v>10.69169316</v>
      </c>
    </row>
    <row r="135" spans="1:3" x14ac:dyDescent="0.35">
      <c r="A135">
        <v>30</v>
      </c>
      <c r="B135" t="s">
        <v>13</v>
      </c>
      <c r="C135" s="6">
        <v>10.761416179999999</v>
      </c>
    </row>
    <row r="136" spans="1:3" x14ac:dyDescent="0.35">
      <c r="A136">
        <v>31</v>
      </c>
      <c r="B136" t="s">
        <v>13</v>
      </c>
      <c r="C136" s="6">
        <v>10.257860470000001</v>
      </c>
    </row>
    <row r="137" spans="1:3" x14ac:dyDescent="0.35">
      <c r="A137">
        <v>32</v>
      </c>
      <c r="B137" t="s">
        <v>13</v>
      </c>
      <c r="C137" s="6">
        <v>10.3850809</v>
      </c>
    </row>
    <row r="138" spans="1:3" x14ac:dyDescent="0.35">
      <c r="A138">
        <v>33</v>
      </c>
      <c r="B138" t="s">
        <v>13</v>
      </c>
      <c r="C138" s="6">
        <v>9.9438999399999997</v>
      </c>
    </row>
    <row r="139" spans="1:3" x14ac:dyDescent="0.35">
      <c r="A139">
        <v>34</v>
      </c>
      <c r="B139" t="s">
        <v>13</v>
      </c>
      <c r="C139" s="6">
        <v>10.37392075</v>
      </c>
    </row>
    <row r="140" spans="1:3" x14ac:dyDescent="0.35">
      <c r="A140">
        <v>35</v>
      </c>
      <c r="B140" t="s">
        <v>13</v>
      </c>
      <c r="C140" s="6">
        <v>11.494689340000001</v>
      </c>
    </row>
    <row r="141" spans="1:3" x14ac:dyDescent="0.35">
      <c r="A141">
        <v>36</v>
      </c>
      <c r="B141" t="s">
        <v>13</v>
      </c>
      <c r="C141" s="6">
        <v>12.60295238</v>
      </c>
    </row>
    <row r="142" spans="1:3" x14ac:dyDescent="0.35">
      <c r="A142">
        <v>37</v>
      </c>
      <c r="B142" t="s">
        <v>13</v>
      </c>
      <c r="C142" s="6">
        <v>13.05832841</v>
      </c>
    </row>
    <row r="143" spans="1:3" x14ac:dyDescent="0.35">
      <c r="A143">
        <v>38</v>
      </c>
      <c r="B143" t="s">
        <v>13</v>
      </c>
      <c r="C143" s="6">
        <v>12.403069220000001</v>
      </c>
    </row>
    <row r="144" spans="1:3" x14ac:dyDescent="0.35">
      <c r="A144">
        <v>39</v>
      </c>
      <c r="B144" t="s">
        <v>13</v>
      </c>
      <c r="C144" s="6">
        <v>14.006001599999999</v>
      </c>
    </row>
    <row r="145" spans="1:3" x14ac:dyDescent="0.35">
      <c r="A145">
        <v>40</v>
      </c>
      <c r="B145" t="s">
        <v>13</v>
      </c>
      <c r="C145" s="6">
        <v>13.9308543</v>
      </c>
    </row>
    <row r="146" spans="1:3" x14ac:dyDescent="0.35">
      <c r="A146">
        <v>41</v>
      </c>
      <c r="B146" t="s">
        <v>13</v>
      </c>
      <c r="C146" s="6">
        <v>12.44749423</v>
      </c>
    </row>
    <row r="147" spans="1:3" x14ac:dyDescent="0.35">
      <c r="A147">
        <v>42</v>
      </c>
      <c r="B147" t="s">
        <v>13</v>
      </c>
      <c r="C147" s="6">
        <v>13.00865628</v>
      </c>
    </row>
    <row r="148" spans="1:3" x14ac:dyDescent="0.35">
      <c r="A148">
        <v>43</v>
      </c>
      <c r="B148" t="s">
        <v>13</v>
      </c>
      <c r="C148" s="6">
        <v>11.98054039</v>
      </c>
    </row>
    <row r="149" spans="1:3" x14ac:dyDescent="0.35">
      <c r="A149">
        <v>44</v>
      </c>
      <c r="B149" t="s">
        <v>13</v>
      </c>
      <c r="C149" s="6">
        <v>9.8147121479999999</v>
      </c>
    </row>
    <row r="150" spans="1:3" x14ac:dyDescent="0.35">
      <c r="A150">
        <v>45</v>
      </c>
      <c r="B150" t="s">
        <v>13</v>
      </c>
      <c r="C150" s="6">
        <v>9.2353685490000004</v>
      </c>
    </row>
    <row r="151" spans="1:3" x14ac:dyDescent="0.35">
      <c r="A151">
        <v>46</v>
      </c>
      <c r="B151" t="s">
        <v>13</v>
      </c>
      <c r="C151" s="6">
        <v>13.61353847</v>
      </c>
    </row>
    <row r="152" spans="1:3" x14ac:dyDescent="0.35">
      <c r="A152">
        <v>47</v>
      </c>
      <c r="B152" t="s">
        <v>13</v>
      </c>
      <c r="C152" s="6">
        <v>11.63498989</v>
      </c>
    </row>
    <row r="153" spans="1:3" x14ac:dyDescent="0.35">
      <c r="A153">
        <v>48</v>
      </c>
      <c r="B153" t="s">
        <v>13</v>
      </c>
      <c r="C153" s="6">
        <v>11.08322519</v>
      </c>
    </row>
    <row r="154" spans="1:3" x14ac:dyDescent="0.35">
      <c r="A154">
        <v>49</v>
      </c>
      <c r="B154" t="s">
        <v>13</v>
      </c>
      <c r="C154" s="6">
        <v>14.31600377</v>
      </c>
    </row>
    <row r="155" spans="1:3" x14ac:dyDescent="0.35">
      <c r="A155">
        <v>50</v>
      </c>
      <c r="B155" t="s">
        <v>13</v>
      </c>
      <c r="C155" s="6">
        <v>18.524331570000001</v>
      </c>
    </row>
    <row r="156" spans="1:3" x14ac:dyDescent="0.35">
      <c r="A156">
        <v>51</v>
      </c>
      <c r="B156" t="s">
        <v>13</v>
      </c>
      <c r="C156" s="6">
        <v>20.776949949999999</v>
      </c>
    </row>
    <row r="157" spans="1:3" x14ac:dyDescent="0.35">
      <c r="A157">
        <v>52</v>
      </c>
      <c r="B157" t="s">
        <v>13</v>
      </c>
      <c r="C157" s="6">
        <v>19.15873332</v>
      </c>
    </row>
    <row r="158" spans="1:3" x14ac:dyDescent="0.35">
      <c r="A158">
        <v>53</v>
      </c>
      <c r="B158" t="s">
        <v>13</v>
      </c>
      <c r="C158" s="6">
        <v>16.14701895</v>
      </c>
    </row>
    <row r="159" spans="1:3" x14ac:dyDescent="0.35">
      <c r="A159">
        <v>54</v>
      </c>
      <c r="B159" t="s">
        <v>13</v>
      </c>
      <c r="C159" s="6">
        <v>14.726888969999999</v>
      </c>
    </row>
    <row r="160" spans="1:3" x14ac:dyDescent="0.35">
      <c r="A160">
        <v>55</v>
      </c>
      <c r="B160" t="s">
        <v>13</v>
      </c>
      <c r="C160" s="6">
        <v>13.91533797</v>
      </c>
    </row>
    <row r="161" spans="1:3" x14ac:dyDescent="0.35">
      <c r="A161">
        <v>56</v>
      </c>
      <c r="B161" t="s">
        <v>13</v>
      </c>
      <c r="C161" s="6">
        <v>7.4946243609999996</v>
      </c>
    </row>
    <row r="162" spans="1:3" x14ac:dyDescent="0.35">
      <c r="A162">
        <v>57</v>
      </c>
      <c r="B162" t="s">
        <v>13</v>
      </c>
      <c r="C162" s="6">
        <v>10.118122960000001</v>
      </c>
    </row>
    <row r="163" spans="1:3" x14ac:dyDescent="0.35">
      <c r="A163">
        <v>58</v>
      </c>
      <c r="B163" t="s">
        <v>13</v>
      </c>
      <c r="C163" s="6">
        <v>3.229065667</v>
      </c>
    </row>
    <row r="164" spans="1:3" x14ac:dyDescent="0.35">
      <c r="A164">
        <v>59</v>
      </c>
      <c r="B164" t="s">
        <v>13</v>
      </c>
      <c r="C164" s="6">
        <v>3.2800385689999998</v>
      </c>
    </row>
    <row r="165" spans="1:3" x14ac:dyDescent="0.35">
      <c r="A165">
        <v>60</v>
      </c>
      <c r="B165" t="s">
        <v>13</v>
      </c>
      <c r="C165" s="6">
        <v>3.5135373400000001</v>
      </c>
    </row>
    <row r="166" spans="1:3" x14ac:dyDescent="0.35">
      <c r="A166">
        <v>-21</v>
      </c>
      <c r="B166" t="s">
        <v>14</v>
      </c>
      <c r="C166" s="6">
        <v>37.715968830000001</v>
      </c>
    </row>
    <row r="167" spans="1:3" x14ac:dyDescent="0.35">
      <c r="A167">
        <v>-20</v>
      </c>
      <c r="B167" t="s">
        <v>14</v>
      </c>
      <c r="C167" s="6">
        <v>37.630425979999998</v>
      </c>
    </row>
    <row r="168" spans="1:3" x14ac:dyDescent="0.35">
      <c r="A168">
        <v>-19</v>
      </c>
      <c r="B168" t="s">
        <v>14</v>
      </c>
      <c r="C168" s="6">
        <v>37.355652800000001</v>
      </c>
    </row>
    <row r="169" spans="1:3" x14ac:dyDescent="0.35">
      <c r="A169">
        <v>-18</v>
      </c>
      <c r="B169" t="s">
        <v>14</v>
      </c>
      <c r="C169" s="6">
        <v>37.786251870000001</v>
      </c>
    </row>
    <row r="170" spans="1:3" x14ac:dyDescent="0.35">
      <c r="A170">
        <v>-17</v>
      </c>
      <c r="B170" t="s">
        <v>14</v>
      </c>
      <c r="C170" s="6">
        <v>37.560443200000002</v>
      </c>
    </row>
    <row r="171" spans="1:3" x14ac:dyDescent="0.35">
      <c r="A171">
        <v>-16</v>
      </c>
      <c r="B171" t="s">
        <v>14</v>
      </c>
      <c r="C171" s="6">
        <v>37.75549513</v>
      </c>
    </row>
    <row r="172" spans="1:3" x14ac:dyDescent="0.35">
      <c r="A172">
        <v>-15</v>
      </c>
      <c r="B172" t="s">
        <v>14</v>
      </c>
      <c r="C172" s="6">
        <v>37.382942530000001</v>
      </c>
    </row>
    <row r="173" spans="1:3" x14ac:dyDescent="0.35">
      <c r="A173">
        <v>-14</v>
      </c>
      <c r="B173" t="s">
        <v>14</v>
      </c>
      <c r="C173" s="6">
        <v>37.405079610000001</v>
      </c>
    </row>
    <row r="174" spans="1:3" x14ac:dyDescent="0.35">
      <c r="A174">
        <v>-13</v>
      </c>
      <c r="B174" t="s">
        <v>14</v>
      </c>
      <c r="C174" s="6">
        <v>37.536181450000001</v>
      </c>
    </row>
    <row r="175" spans="1:3" x14ac:dyDescent="0.35">
      <c r="A175">
        <v>-12</v>
      </c>
      <c r="B175" t="s">
        <v>14</v>
      </c>
      <c r="C175" s="6">
        <v>37.537462480000002</v>
      </c>
    </row>
    <row r="176" spans="1:3" x14ac:dyDescent="0.35">
      <c r="A176">
        <v>-11</v>
      </c>
      <c r="B176" t="s">
        <v>14</v>
      </c>
      <c r="C176" s="6">
        <v>37.837094810000004</v>
      </c>
    </row>
    <row r="177" spans="1:3" x14ac:dyDescent="0.35">
      <c r="A177">
        <v>-10</v>
      </c>
      <c r="B177" t="s">
        <v>14</v>
      </c>
      <c r="C177" s="6">
        <v>38.174196279999997</v>
      </c>
    </row>
    <row r="178" spans="1:3" x14ac:dyDescent="0.35">
      <c r="A178">
        <v>-9</v>
      </c>
      <c r="B178" t="s">
        <v>14</v>
      </c>
      <c r="C178" s="6">
        <v>37.368819379999998</v>
      </c>
    </row>
    <row r="179" spans="1:3" x14ac:dyDescent="0.35">
      <c r="A179">
        <v>-8</v>
      </c>
      <c r="B179" t="s">
        <v>14</v>
      </c>
      <c r="C179" s="6">
        <v>37.34903328</v>
      </c>
    </row>
    <row r="180" spans="1:3" x14ac:dyDescent="0.35">
      <c r="A180">
        <v>-7</v>
      </c>
      <c r="B180" t="s">
        <v>14</v>
      </c>
      <c r="C180" s="6">
        <v>37.391681089999999</v>
      </c>
    </row>
    <row r="181" spans="1:3" x14ac:dyDescent="0.35">
      <c r="A181">
        <v>-6</v>
      </c>
      <c r="B181" t="s">
        <v>14</v>
      </c>
      <c r="C181" s="6">
        <v>37.157948410000003</v>
      </c>
    </row>
    <row r="182" spans="1:3" x14ac:dyDescent="0.35">
      <c r="A182">
        <v>-5</v>
      </c>
      <c r="B182" t="s">
        <v>14</v>
      </c>
      <c r="C182" s="6">
        <v>36.161665149999997</v>
      </c>
    </row>
    <row r="183" spans="1:3" x14ac:dyDescent="0.35">
      <c r="A183">
        <v>-4</v>
      </c>
      <c r="B183" t="s">
        <v>14</v>
      </c>
      <c r="C183" s="6">
        <v>34.187962030000001</v>
      </c>
    </row>
    <row r="184" spans="1:3" x14ac:dyDescent="0.35">
      <c r="A184">
        <v>-3</v>
      </c>
      <c r="B184" t="s">
        <v>14</v>
      </c>
      <c r="C184" s="6">
        <v>30.93683613</v>
      </c>
    </row>
    <row r="185" spans="1:3" x14ac:dyDescent="0.35">
      <c r="A185">
        <v>-2</v>
      </c>
      <c r="B185" t="s">
        <v>14</v>
      </c>
      <c r="C185" s="6">
        <v>25.538188699999999</v>
      </c>
    </row>
    <row r="186" spans="1:3" x14ac:dyDescent="0.35">
      <c r="A186">
        <v>-1</v>
      </c>
      <c r="B186" t="s">
        <v>14</v>
      </c>
      <c r="C186" s="6">
        <v>18.253111870000001</v>
      </c>
    </row>
    <row r="187" spans="1:3" x14ac:dyDescent="0.35">
      <c r="A187">
        <v>0</v>
      </c>
      <c r="B187" t="s">
        <v>14</v>
      </c>
      <c r="C187" s="6">
        <v>15.91043114</v>
      </c>
    </row>
    <row r="188" spans="1:3" x14ac:dyDescent="0.35">
      <c r="A188">
        <v>1</v>
      </c>
      <c r="B188" t="s">
        <v>14</v>
      </c>
      <c r="C188" s="6">
        <v>15.51233077</v>
      </c>
    </row>
    <row r="189" spans="1:3" x14ac:dyDescent="0.35">
      <c r="A189">
        <v>2</v>
      </c>
      <c r="B189" t="s">
        <v>14</v>
      </c>
      <c r="C189" s="6">
        <v>16.1550841</v>
      </c>
    </row>
    <row r="190" spans="1:3" x14ac:dyDescent="0.35">
      <c r="A190">
        <v>3</v>
      </c>
      <c r="B190" t="s">
        <v>14</v>
      </c>
      <c r="C190" s="6">
        <v>16.490325500000001</v>
      </c>
    </row>
    <row r="191" spans="1:3" x14ac:dyDescent="0.35">
      <c r="A191">
        <v>4</v>
      </c>
      <c r="B191" t="s">
        <v>14</v>
      </c>
      <c r="C191" s="6">
        <v>18.566754620000001</v>
      </c>
    </row>
    <row r="192" spans="1:3" x14ac:dyDescent="0.35">
      <c r="A192">
        <v>5</v>
      </c>
      <c r="B192" t="s">
        <v>14</v>
      </c>
      <c r="C192" s="6">
        <v>19.30286357</v>
      </c>
    </row>
    <row r="193" spans="1:3" x14ac:dyDescent="0.35">
      <c r="A193">
        <v>6</v>
      </c>
      <c r="B193" t="s">
        <v>14</v>
      </c>
      <c r="C193" s="6">
        <v>21.210630250000001</v>
      </c>
    </row>
    <row r="194" spans="1:3" x14ac:dyDescent="0.35">
      <c r="A194">
        <v>7</v>
      </c>
      <c r="B194" t="s">
        <v>14</v>
      </c>
      <c r="C194" s="6">
        <v>22.217975030000002</v>
      </c>
    </row>
    <row r="195" spans="1:3" x14ac:dyDescent="0.35">
      <c r="A195">
        <v>8</v>
      </c>
      <c r="B195" t="s">
        <v>14</v>
      </c>
      <c r="C195" s="6">
        <v>23.094751120000002</v>
      </c>
    </row>
    <row r="196" spans="1:3" x14ac:dyDescent="0.35">
      <c r="A196">
        <v>9</v>
      </c>
      <c r="B196" t="s">
        <v>14</v>
      </c>
      <c r="C196" s="6">
        <v>24.267859170000001</v>
      </c>
    </row>
    <row r="197" spans="1:3" x14ac:dyDescent="0.35">
      <c r="A197">
        <v>10</v>
      </c>
      <c r="B197" t="s">
        <v>14</v>
      </c>
      <c r="C197" s="6">
        <v>24.56709171</v>
      </c>
    </row>
    <row r="198" spans="1:3" x14ac:dyDescent="0.35">
      <c r="A198">
        <v>11</v>
      </c>
      <c r="B198" t="s">
        <v>14</v>
      </c>
      <c r="C198" s="6">
        <v>24.941199869999998</v>
      </c>
    </row>
    <row r="199" spans="1:3" x14ac:dyDescent="0.35">
      <c r="A199">
        <v>12</v>
      </c>
      <c r="B199" t="s">
        <v>14</v>
      </c>
      <c r="C199" s="6">
        <v>25.37974191</v>
      </c>
    </row>
    <row r="200" spans="1:3" x14ac:dyDescent="0.35">
      <c r="A200">
        <v>13</v>
      </c>
      <c r="B200" t="s">
        <v>14</v>
      </c>
      <c r="C200" s="6">
        <v>26.168517860000001</v>
      </c>
    </row>
    <row r="201" spans="1:3" x14ac:dyDescent="0.35">
      <c r="A201">
        <v>14</v>
      </c>
      <c r="B201" t="s">
        <v>14</v>
      </c>
      <c r="C201" s="6">
        <v>26.514546299999999</v>
      </c>
    </row>
    <row r="202" spans="1:3" x14ac:dyDescent="0.35">
      <c r="A202">
        <v>15</v>
      </c>
      <c r="B202" t="s">
        <v>14</v>
      </c>
      <c r="C202" s="6">
        <v>26.292389570000001</v>
      </c>
    </row>
    <row r="203" spans="1:3" x14ac:dyDescent="0.35">
      <c r="A203">
        <v>16</v>
      </c>
      <c r="B203" t="s">
        <v>14</v>
      </c>
      <c r="C203" s="6">
        <v>26.436450879999999</v>
      </c>
    </row>
    <row r="204" spans="1:3" x14ac:dyDescent="0.35">
      <c r="A204">
        <v>17</v>
      </c>
      <c r="B204" t="s">
        <v>14</v>
      </c>
      <c r="C204" s="6">
        <v>26.75249466</v>
      </c>
    </row>
    <row r="205" spans="1:3" x14ac:dyDescent="0.35">
      <c r="A205">
        <v>18</v>
      </c>
      <c r="B205" t="s">
        <v>14</v>
      </c>
      <c r="C205" s="6">
        <v>27.043879700000002</v>
      </c>
    </row>
    <row r="206" spans="1:3" x14ac:dyDescent="0.35">
      <c r="A206">
        <v>19</v>
      </c>
      <c r="B206" t="s">
        <v>14</v>
      </c>
      <c r="C206" s="6">
        <v>27.06234662</v>
      </c>
    </row>
    <row r="207" spans="1:3" x14ac:dyDescent="0.35">
      <c r="A207">
        <v>20</v>
      </c>
      <c r="B207" t="s">
        <v>14</v>
      </c>
      <c r="C207" s="6">
        <v>26.837427000000002</v>
      </c>
    </row>
    <row r="208" spans="1:3" x14ac:dyDescent="0.35">
      <c r="A208">
        <v>21</v>
      </c>
      <c r="B208" t="s">
        <v>14</v>
      </c>
      <c r="C208" s="6">
        <v>27.075644489999998</v>
      </c>
    </row>
    <row r="209" spans="1:3" x14ac:dyDescent="0.35">
      <c r="A209">
        <v>22</v>
      </c>
      <c r="B209" t="s">
        <v>14</v>
      </c>
      <c r="C209" s="6">
        <v>27.012027580000002</v>
      </c>
    </row>
    <row r="210" spans="1:3" x14ac:dyDescent="0.35">
      <c r="A210">
        <v>23</v>
      </c>
      <c r="B210" t="s">
        <v>14</v>
      </c>
      <c r="C210" s="6">
        <v>27.02503699</v>
      </c>
    </row>
    <row r="211" spans="1:3" x14ac:dyDescent="0.35">
      <c r="A211">
        <v>24</v>
      </c>
      <c r="B211" t="s">
        <v>14</v>
      </c>
      <c r="C211" s="6">
        <v>27.223699539999998</v>
      </c>
    </row>
    <row r="212" spans="1:3" x14ac:dyDescent="0.35">
      <c r="A212">
        <v>25</v>
      </c>
      <c r="B212" t="s">
        <v>14</v>
      </c>
      <c r="C212" s="6">
        <v>27.002150799999999</v>
      </c>
    </row>
    <row r="213" spans="1:3" x14ac:dyDescent="0.35">
      <c r="A213">
        <v>26</v>
      </c>
      <c r="B213" t="s">
        <v>14</v>
      </c>
      <c r="C213" s="6">
        <v>27.253434859999999</v>
      </c>
    </row>
    <row r="214" spans="1:3" x14ac:dyDescent="0.35">
      <c r="A214">
        <v>27</v>
      </c>
      <c r="B214" t="s">
        <v>14</v>
      </c>
      <c r="C214" s="6">
        <v>26.88960427</v>
      </c>
    </row>
    <row r="215" spans="1:3" x14ac:dyDescent="0.35">
      <c r="A215">
        <v>28</v>
      </c>
      <c r="B215" t="s">
        <v>14</v>
      </c>
      <c r="C215" s="6">
        <v>26.832964700000002</v>
      </c>
    </row>
    <row r="216" spans="1:3" x14ac:dyDescent="0.35">
      <c r="A216">
        <v>29</v>
      </c>
      <c r="B216" t="s">
        <v>14</v>
      </c>
      <c r="C216" s="6">
        <v>26.973578910000001</v>
      </c>
    </row>
    <row r="217" spans="1:3" x14ac:dyDescent="0.35">
      <c r="A217">
        <v>30</v>
      </c>
      <c r="B217" t="s">
        <v>14</v>
      </c>
      <c r="C217" s="6">
        <v>27.071374129999999</v>
      </c>
    </row>
    <row r="218" spans="1:3" x14ac:dyDescent="0.35">
      <c r="A218">
        <v>31</v>
      </c>
      <c r="B218" t="s">
        <v>14</v>
      </c>
      <c r="C218" s="6">
        <v>27.00438372</v>
      </c>
    </row>
    <row r="219" spans="1:3" x14ac:dyDescent="0.35">
      <c r="A219">
        <v>32</v>
      </c>
      <c r="B219" t="s">
        <v>14</v>
      </c>
      <c r="C219" s="6">
        <v>26.684822919999998</v>
      </c>
    </row>
    <row r="220" spans="1:3" x14ac:dyDescent="0.35">
      <c r="A220">
        <v>33</v>
      </c>
      <c r="B220" t="s">
        <v>14</v>
      </c>
      <c r="C220" s="6">
        <v>27.023644279999999</v>
      </c>
    </row>
    <row r="221" spans="1:3" x14ac:dyDescent="0.35">
      <c r="A221">
        <v>34</v>
      </c>
      <c r="B221" t="s">
        <v>14</v>
      </c>
      <c r="C221" s="6">
        <v>26.615650309999999</v>
      </c>
    </row>
    <row r="222" spans="1:3" x14ac:dyDescent="0.35">
      <c r="A222">
        <v>35</v>
      </c>
      <c r="B222" t="s">
        <v>14</v>
      </c>
      <c r="C222" s="6">
        <v>26.893130240000001</v>
      </c>
    </row>
    <row r="223" spans="1:3" x14ac:dyDescent="0.35">
      <c r="A223">
        <v>36</v>
      </c>
      <c r="B223" t="s">
        <v>14</v>
      </c>
      <c r="C223" s="6">
        <v>27.145122619999999</v>
      </c>
    </row>
    <row r="224" spans="1:3" x14ac:dyDescent="0.35">
      <c r="A224">
        <v>37</v>
      </c>
      <c r="B224" t="s">
        <v>14</v>
      </c>
      <c r="C224" s="6">
        <v>26.884486339999999</v>
      </c>
    </row>
    <row r="225" spans="1:3" x14ac:dyDescent="0.35">
      <c r="A225">
        <v>38</v>
      </c>
      <c r="B225" t="s">
        <v>14</v>
      </c>
      <c r="C225" s="6">
        <v>26.803315730000001</v>
      </c>
    </row>
    <row r="226" spans="1:3" x14ac:dyDescent="0.35">
      <c r="A226">
        <v>39</v>
      </c>
      <c r="B226" t="s">
        <v>14</v>
      </c>
      <c r="C226" s="6">
        <v>27.129444679999999</v>
      </c>
    </row>
    <row r="227" spans="1:3" x14ac:dyDescent="0.35">
      <c r="A227">
        <v>40</v>
      </c>
      <c r="B227" t="s">
        <v>14</v>
      </c>
      <c r="C227" s="6">
        <v>27.248582519999999</v>
      </c>
    </row>
    <row r="228" spans="1:3" x14ac:dyDescent="0.35">
      <c r="A228">
        <v>41</v>
      </c>
      <c r="B228" t="s">
        <v>14</v>
      </c>
      <c r="C228" s="6">
        <v>27.230546029999999</v>
      </c>
    </row>
    <row r="229" spans="1:3" x14ac:dyDescent="0.35">
      <c r="A229">
        <v>42</v>
      </c>
      <c r="B229" t="s">
        <v>14</v>
      </c>
      <c r="C229" s="6">
        <v>26.999906169999999</v>
      </c>
    </row>
    <row r="230" spans="1:3" x14ac:dyDescent="0.35">
      <c r="A230">
        <v>43</v>
      </c>
      <c r="B230" t="s">
        <v>14</v>
      </c>
      <c r="C230" s="6">
        <v>27.497818809999998</v>
      </c>
    </row>
    <row r="231" spans="1:3" x14ac:dyDescent="0.35">
      <c r="A231">
        <v>44</v>
      </c>
      <c r="B231" t="s">
        <v>14</v>
      </c>
      <c r="C231" s="6">
        <v>27.449888829999999</v>
      </c>
    </row>
    <row r="232" spans="1:3" x14ac:dyDescent="0.35">
      <c r="A232">
        <v>45</v>
      </c>
      <c r="B232" t="s">
        <v>14</v>
      </c>
      <c r="C232" s="6">
        <v>27.366088390000002</v>
      </c>
    </row>
    <row r="233" spans="1:3" x14ac:dyDescent="0.35">
      <c r="A233">
        <v>46</v>
      </c>
      <c r="B233" t="s">
        <v>14</v>
      </c>
      <c r="C233" s="6">
        <v>27.816147829999998</v>
      </c>
    </row>
    <row r="234" spans="1:3" x14ac:dyDescent="0.35">
      <c r="A234">
        <v>47</v>
      </c>
      <c r="B234" t="s">
        <v>14</v>
      </c>
      <c r="C234" s="6">
        <v>27.515770960000001</v>
      </c>
    </row>
    <row r="235" spans="1:3" x14ac:dyDescent="0.35">
      <c r="A235">
        <v>48</v>
      </c>
      <c r="B235" t="s">
        <v>14</v>
      </c>
      <c r="C235" s="6">
        <v>27.458583489999999</v>
      </c>
    </row>
    <row r="236" spans="1:3" x14ac:dyDescent="0.35">
      <c r="A236">
        <v>49</v>
      </c>
      <c r="B236" t="s">
        <v>14</v>
      </c>
      <c r="C236" s="6">
        <v>27.32513788</v>
      </c>
    </row>
    <row r="237" spans="1:3" x14ac:dyDescent="0.35">
      <c r="A237">
        <v>50</v>
      </c>
      <c r="B237" t="s">
        <v>14</v>
      </c>
      <c r="C237" s="6">
        <v>27.284503170000001</v>
      </c>
    </row>
    <row r="238" spans="1:3" x14ac:dyDescent="0.35">
      <c r="A238">
        <v>51</v>
      </c>
      <c r="B238" t="s">
        <v>14</v>
      </c>
      <c r="C238" s="6">
        <v>27.314266960000001</v>
      </c>
    </row>
    <row r="239" spans="1:3" x14ac:dyDescent="0.35">
      <c r="A239">
        <v>52</v>
      </c>
      <c r="B239" t="s">
        <v>14</v>
      </c>
      <c r="C239" s="6">
        <v>27.366513909999998</v>
      </c>
    </row>
    <row r="240" spans="1:3" x14ac:dyDescent="0.35">
      <c r="A240">
        <v>53</v>
      </c>
      <c r="B240" t="s">
        <v>14</v>
      </c>
      <c r="C240" s="6">
        <v>27.269450169999999</v>
      </c>
    </row>
    <row r="241" spans="1:3" x14ac:dyDescent="0.35">
      <c r="A241">
        <v>54</v>
      </c>
      <c r="B241" t="s">
        <v>14</v>
      </c>
      <c r="C241" s="6">
        <v>26.595101339999999</v>
      </c>
    </row>
    <row r="242" spans="1:3" x14ac:dyDescent="0.35">
      <c r="A242">
        <v>55</v>
      </c>
      <c r="B242" t="s">
        <v>14</v>
      </c>
      <c r="C242" s="6">
        <v>26.798865509999999</v>
      </c>
    </row>
    <row r="243" spans="1:3" x14ac:dyDescent="0.35">
      <c r="A243">
        <v>56</v>
      </c>
      <c r="B243" t="s">
        <v>14</v>
      </c>
      <c r="C243" s="6">
        <v>27.05781979</v>
      </c>
    </row>
    <row r="244" spans="1:3" x14ac:dyDescent="0.35">
      <c r="A244">
        <v>57</v>
      </c>
      <c r="B244" t="s">
        <v>14</v>
      </c>
      <c r="C244" s="6">
        <v>26.541758949999998</v>
      </c>
    </row>
    <row r="245" spans="1:3" x14ac:dyDescent="0.35">
      <c r="A245">
        <v>58</v>
      </c>
      <c r="B245" t="s">
        <v>14</v>
      </c>
      <c r="C245" s="6">
        <v>26.805435020000001</v>
      </c>
    </row>
    <row r="246" spans="1:3" x14ac:dyDescent="0.35">
      <c r="A246">
        <v>59</v>
      </c>
      <c r="B246" t="s">
        <v>14</v>
      </c>
      <c r="C246" s="6">
        <v>26.447100150000001</v>
      </c>
    </row>
    <row r="247" spans="1:3" x14ac:dyDescent="0.35">
      <c r="A247">
        <v>60</v>
      </c>
      <c r="B247" t="s">
        <v>14</v>
      </c>
      <c r="C247" s="6">
        <v>26.193333290000002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A3879-29F0-4A9A-AB50-C0B41759BF59}">
  <dimension ref="A1:G6"/>
  <sheetViews>
    <sheetView workbookViewId="0">
      <selection activeCell="E3" sqref="E3"/>
    </sheetView>
  </sheetViews>
  <sheetFormatPr defaultRowHeight="14.5" x14ac:dyDescent="0.35"/>
  <cols>
    <col min="2" max="2" width="19.08984375" bestFit="1" customWidth="1"/>
    <col min="3" max="3" width="15.6328125" bestFit="1" customWidth="1"/>
    <col min="4" max="4" width="16.6328125" bestFit="1" customWidth="1"/>
    <col min="5" max="5" width="23.08984375" bestFit="1" customWidth="1"/>
    <col min="6" max="6" width="12.1796875" bestFit="1" customWidth="1"/>
    <col min="7" max="7" width="12.54296875" bestFit="1" customWidth="1"/>
  </cols>
  <sheetData>
    <row r="1" spans="1:7" x14ac:dyDescent="0.35">
      <c r="B1" t="s">
        <v>0</v>
      </c>
      <c r="C1" t="s">
        <v>1</v>
      </c>
      <c r="D1" t="s">
        <v>2</v>
      </c>
      <c r="E1" t="s">
        <v>3</v>
      </c>
    </row>
    <row r="2" spans="1:7" x14ac:dyDescent="0.35">
      <c r="A2" t="s">
        <v>4</v>
      </c>
      <c r="B2" s="1">
        <f>0.0667</f>
        <v>6.6699999999999995E-2</v>
      </c>
      <c r="C2" s="1">
        <f>B2-0.0111</f>
        <v>5.5599999999999997E-2</v>
      </c>
      <c r="D2" s="2">
        <f>B2*(-'Milk losses'!I2)</f>
        <v>13.737116278086294</v>
      </c>
      <c r="E2" s="2">
        <f>3000*C2</f>
        <v>166.79999999999998</v>
      </c>
      <c r="F2" s="3"/>
    </row>
    <row r="3" spans="1:7" x14ac:dyDescent="0.35">
      <c r="A3" t="s">
        <v>5</v>
      </c>
      <c r="B3" s="1">
        <f>0.3291</f>
        <v>0.3291</v>
      </c>
      <c r="C3" s="1">
        <f>B3-0.0903</f>
        <v>0.23880000000000001</v>
      </c>
      <c r="D3" s="2">
        <f>-'Milk losses'!I3*B3</f>
        <v>99.946031642645906</v>
      </c>
      <c r="E3" s="2">
        <f>1877*C3</f>
        <v>448.2276</v>
      </c>
      <c r="F3" s="3"/>
    </row>
    <row r="4" spans="1:7" x14ac:dyDescent="0.35">
      <c r="A4" t="s">
        <v>6</v>
      </c>
      <c r="B4" s="1">
        <f>1-B3-B2</f>
        <v>0.60420000000000007</v>
      </c>
      <c r="C4" s="1" t="s">
        <v>7</v>
      </c>
      <c r="D4" s="2">
        <f>-B4*'Milk losses'!I4</f>
        <v>221.74894036997429</v>
      </c>
      <c r="E4" s="2" t="s">
        <v>7</v>
      </c>
      <c r="F4" s="3"/>
    </row>
    <row r="5" spans="1:7" x14ac:dyDescent="0.35">
      <c r="A5" t="s">
        <v>8</v>
      </c>
      <c r="B5" s="1">
        <f>SUM(B2:B4)</f>
        <v>1</v>
      </c>
      <c r="C5" s="1" t="s">
        <v>7</v>
      </c>
      <c r="D5" s="2">
        <f>SUM(D2:D4)</f>
        <v>335.43208829070647</v>
      </c>
      <c r="E5" s="2">
        <f>SUM(E2:E3)</f>
        <v>615.02760000000001</v>
      </c>
      <c r="F5" s="4">
        <f>SUM(D5:E5)</f>
        <v>950.45968829070648</v>
      </c>
      <c r="G5" t="s">
        <v>21</v>
      </c>
    </row>
    <row r="6" spans="1:7" x14ac:dyDescent="0.35">
      <c r="F6" s="5">
        <f>F5*776</f>
        <v>737556.71811358829</v>
      </c>
      <c r="G6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E8B68-9489-4D9A-8E19-0058F40C248F}">
  <dimension ref="A1:I6"/>
  <sheetViews>
    <sheetView workbookViewId="0">
      <selection activeCell="I2" sqref="I2"/>
    </sheetView>
  </sheetViews>
  <sheetFormatPr defaultRowHeight="14.5" x14ac:dyDescent="0.35"/>
  <cols>
    <col min="5" max="5" width="23.08984375" bestFit="1" customWidth="1"/>
    <col min="6" max="6" width="12.1796875" bestFit="1" customWidth="1"/>
  </cols>
  <sheetData>
    <row r="1" spans="1:9" x14ac:dyDescent="0.35">
      <c r="B1" t="s">
        <v>0</v>
      </c>
      <c r="C1" t="s">
        <v>1</v>
      </c>
      <c r="D1" t="s">
        <v>2</v>
      </c>
      <c r="E1" t="s">
        <v>3</v>
      </c>
    </row>
    <row r="2" spans="1:9" x14ac:dyDescent="0.35">
      <c r="A2" t="s">
        <v>4</v>
      </c>
      <c r="B2" s="1">
        <f>0.0667</f>
        <v>6.6699999999999995E-2</v>
      </c>
      <c r="C2" s="1">
        <f>B2-0.0111</f>
        <v>5.5599999999999997E-2</v>
      </c>
      <c r="D2" s="2">
        <f>B2*(-'Milk losses'!I2)</f>
        <v>13.737116278086294</v>
      </c>
      <c r="E2" s="2">
        <f>I2*C2</f>
        <v>117.872</v>
      </c>
      <c r="F2" s="3"/>
      <c r="I2">
        <v>2120</v>
      </c>
    </row>
    <row r="3" spans="1:9" x14ac:dyDescent="0.35">
      <c r="A3" t="s">
        <v>5</v>
      </c>
      <c r="B3" s="1">
        <f>0.3291</f>
        <v>0.3291</v>
      </c>
      <c r="C3" s="1">
        <f>B3-0.0903</f>
        <v>0.23880000000000001</v>
      </c>
      <c r="D3" s="2">
        <f>-'Milk losses'!I3*B3</f>
        <v>99.946031642645906</v>
      </c>
      <c r="E3" s="2">
        <f>(1877+I2-3000)*C3</f>
        <v>238.08360000000002</v>
      </c>
      <c r="F3" s="3"/>
    </row>
    <row r="4" spans="1:9" x14ac:dyDescent="0.35">
      <c r="A4" t="s">
        <v>6</v>
      </c>
      <c r="B4" s="1">
        <f>1-B3-B2</f>
        <v>0.60420000000000007</v>
      </c>
      <c r="C4" s="1" t="s">
        <v>7</v>
      </c>
      <c r="D4" s="2">
        <f>-B4*'Milk losses'!I4</f>
        <v>221.74894036997429</v>
      </c>
      <c r="E4" s="2" t="s">
        <v>7</v>
      </c>
      <c r="F4" s="3"/>
    </row>
    <row r="5" spans="1:9" x14ac:dyDescent="0.35">
      <c r="A5" t="s">
        <v>8</v>
      </c>
      <c r="B5" s="1">
        <f>SUM(B2:B4)</f>
        <v>1</v>
      </c>
      <c r="C5" s="1" t="s">
        <v>7</v>
      </c>
      <c r="D5" s="2">
        <f>SUM(D2:D4)</f>
        <v>335.43208829070647</v>
      </c>
      <c r="E5" s="2">
        <f>SUM(E2:E3)</f>
        <v>355.9556</v>
      </c>
      <c r="F5" s="4">
        <f>SUM(D5:E5)</f>
        <v>691.38768829070648</v>
      </c>
      <c r="G5" t="s">
        <v>21</v>
      </c>
    </row>
    <row r="6" spans="1:9" x14ac:dyDescent="0.35">
      <c r="F6" s="5">
        <f>F5*776</f>
        <v>536516.8461135882</v>
      </c>
      <c r="G6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0088-A64A-45C2-A767-C3DC88381A0F}">
  <dimension ref="A1:I6"/>
  <sheetViews>
    <sheetView tabSelected="1" workbookViewId="0">
      <selection activeCell="F12" sqref="F12"/>
    </sheetView>
  </sheetViews>
  <sheetFormatPr defaultRowHeight="14.5" x14ac:dyDescent="0.35"/>
  <cols>
    <col min="5" max="5" width="23.08984375" bestFit="1" customWidth="1"/>
    <col min="6" max="6" width="12.1796875" bestFit="1" customWidth="1"/>
  </cols>
  <sheetData>
    <row r="1" spans="1:9" x14ac:dyDescent="0.35">
      <c r="B1" t="s">
        <v>0</v>
      </c>
      <c r="C1" t="s">
        <v>1</v>
      </c>
      <c r="D1" t="s">
        <v>2</v>
      </c>
      <c r="E1" t="s">
        <v>3</v>
      </c>
    </row>
    <row r="2" spans="1:9" x14ac:dyDescent="0.35">
      <c r="A2" t="s">
        <v>4</v>
      </c>
      <c r="B2" s="1">
        <f>0.0667</f>
        <v>6.6699999999999995E-2</v>
      </c>
      <c r="C2" s="1">
        <f>B2-0.0111</f>
        <v>5.5599999999999997E-2</v>
      </c>
      <c r="D2" s="2">
        <f>B2*(-'Milk losses'!I2)</f>
        <v>13.737116278086294</v>
      </c>
      <c r="E2" s="2">
        <f>I2*C2</f>
        <v>125.32684799999998</v>
      </c>
      <c r="F2" s="3"/>
      <c r="I2">
        <v>2254.08</v>
      </c>
    </row>
    <row r="3" spans="1:9" x14ac:dyDescent="0.35">
      <c r="A3" t="s">
        <v>5</v>
      </c>
      <c r="B3" s="1">
        <f>0.3291</f>
        <v>0.3291</v>
      </c>
      <c r="C3" s="1">
        <f>B3-0.0903</f>
        <v>0.23880000000000001</v>
      </c>
      <c r="D3" s="2">
        <f>-'Milk losses'!I3*B3</f>
        <v>99.946031642645906</v>
      </c>
      <c r="E3" s="2">
        <f>(1877+I2-3000)*C3</f>
        <v>270.10190399999999</v>
      </c>
      <c r="F3" s="3"/>
    </row>
    <row r="4" spans="1:9" x14ac:dyDescent="0.35">
      <c r="A4" t="s">
        <v>6</v>
      </c>
      <c r="B4" s="1">
        <f>1-B3-B2</f>
        <v>0.60420000000000007</v>
      </c>
      <c r="C4" s="1" t="s">
        <v>7</v>
      </c>
      <c r="D4" s="2">
        <f>-B4*'Milk losses'!I4</f>
        <v>221.74894036997429</v>
      </c>
      <c r="E4" s="2" t="s">
        <v>7</v>
      </c>
      <c r="F4" s="3"/>
    </row>
    <row r="5" spans="1:9" x14ac:dyDescent="0.35">
      <c r="A5" t="s">
        <v>8</v>
      </c>
      <c r="B5" s="1">
        <f>SUM(B2:B4)</f>
        <v>1</v>
      </c>
      <c r="C5" s="1" t="s">
        <v>7</v>
      </c>
      <c r="D5" s="2">
        <f>SUM(D2:D4)</f>
        <v>335.43208829070647</v>
      </c>
      <c r="E5" s="2">
        <f>SUM(E2:E3)</f>
        <v>395.42875199999997</v>
      </c>
      <c r="F5" s="4">
        <f>SUM(D5:E5)</f>
        <v>730.86084029070639</v>
      </c>
      <c r="G5" t="s">
        <v>21</v>
      </c>
    </row>
    <row r="6" spans="1:9" x14ac:dyDescent="0.35">
      <c r="F6" s="5">
        <f>F5*776</f>
        <v>567148.01206558815</v>
      </c>
      <c r="G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Milk losses</vt:lpstr>
      <vt:lpstr>Headline numbers</vt:lpstr>
      <vt:lpstr>NASS</vt:lpstr>
      <vt:lpstr>AMS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J MacLachlan</dc:creator>
  <cp:lastModifiedBy>Matthew J MacLachlan</cp:lastModifiedBy>
  <dcterms:created xsi:type="dcterms:W3CDTF">2025-02-15T16:50:15Z</dcterms:created>
  <dcterms:modified xsi:type="dcterms:W3CDTF">2025-04-07T20:43:35Z</dcterms:modified>
</cp:coreProperties>
</file>